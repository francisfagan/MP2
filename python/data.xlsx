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<sst xmlns="http://schemas.openxmlformats.org/spreadsheetml/2006/main" count="33" uniqueCount="33">
  <si>
    <t xml:space="preserve">Gravitational Constant (G) [km^3 kg^-1 s^-2]</t>
  </si>
  <si>
    <t xml:space="preserve">MEASUREMENTS TAKEN FROM 1 MAY 2026 00:00</t>
  </si>
  <si>
    <t>BODY</t>
  </si>
  <si>
    <t xml:space="preserve">RADIUS [km]</t>
  </si>
  <si>
    <t xml:space="preserve">MASS [kg]</t>
  </si>
  <si>
    <t xml:space="preserve">X [km]</t>
  </si>
  <si>
    <t xml:space="preserve">Y [km]</t>
  </si>
  <si>
    <t xml:space="preserve">Z [km]</t>
  </si>
  <si>
    <t xml:space="preserve">VX [km/s]</t>
  </si>
  <si>
    <t xml:space="preserve">VY [km/s]</t>
  </si>
  <si>
    <t xml:space="preserve">VZ [km/s]</t>
  </si>
  <si>
    <t>RANGE</t>
  </si>
  <si>
    <t xml:space="preserve">CALC RANGE</t>
  </si>
  <si>
    <t xml:space="preserve">GM [km^3 s^-2]</t>
  </si>
  <si>
    <t>Sun</t>
  </si>
  <si>
    <t>-</t>
  </si>
  <si>
    <t>Jupiter</t>
  </si>
  <si>
    <t>Saturn</t>
  </si>
  <si>
    <t>Uranus</t>
  </si>
  <si>
    <t>Neptune</t>
  </si>
  <si>
    <t>Earth</t>
  </si>
  <si>
    <t>Venus</t>
  </si>
  <si>
    <t>Mars</t>
  </si>
  <si>
    <t>Ganymede</t>
  </si>
  <si>
    <t>Titan</t>
  </si>
  <si>
    <t>Mercury</t>
  </si>
  <si>
    <t>Callisto</t>
  </si>
  <si>
    <t>Io</t>
  </si>
  <si>
    <t>Moon</t>
  </si>
  <si>
    <t>Europa</t>
  </si>
  <si>
    <t>Triton</t>
  </si>
  <si>
    <t xml:space="preserve">Data obtained from</t>
  </si>
  <si>
    <t>https://ssd.jpl.nasa.gov/horizons/app.html#/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</si>
</sst>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E+0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0.500000"/>
      <color indexed="63"/>
      <name val="Liberation Sans"/>
    </font>
    <font>
      <u/>
      <sz val="11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0"/>
        <bgColor theme="2" tint="0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 applyAlignment="1">
      <alignment horizontal="center"/>
    </xf>
    <xf fontId="0" fillId="3" borderId="0" numFmtId="11" xfId="0" applyNumberFormat="1" applyFill="1" applyAlignment="1">
      <alignment horizontal="center"/>
    </xf>
    <xf fontId="0" fillId="2" borderId="0" numFmtId="0" xfId="0" applyFill="1"/>
    <xf fontId="0" fillId="2" borderId="0" numFmtId="0" xfId="0" applyFill="1" applyAlignment="1">
      <alignment horizontal="center"/>
    </xf>
    <xf fontId="1" fillId="4" borderId="1" numFmtId="0" xfId="0" applyFont="1" applyFill="1" applyBorder="1" applyAlignment="1">
      <alignment horizontal="center"/>
    </xf>
    <xf fontId="1" fillId="0" borderId="0" numFmtId="0" xfId="0" applyFont="1" applyAlignment="1">
      <alignment horizontal="center"/>
    </xf>
    <xf fontId="0" fillId="0" borderId="0" numFmtId="11" xfId="0" applyNumberFormat="1" applyAlignment="1">
      <alignment horizontal="center"/>
    </xf>
    <xf fontId="2" fillId="0" borderId="0" numFmtId="11" xfId="0" applyNumberFormat="1" applyFont="1" applyAlignment="1">
      <alignment horizontal="center"/>
    </xf>
    <xf fontId="0" fillId="0" borderId="0" numFmtId="164" xfId="0" applyNumberFormat="1" applyAlignment="1">
      <alignment horizontal="center"/>
    </xf>
    <xf fontId="0" fillId="5" borderId="0" numFmtId="0" xfId="0" applyFill="1" applyAlignment="1">
      <alignment horizontal="center"/>
    </xf>
    <xf fontId="3" fillId="5" borderId="0" numFmt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ssd.jpl.nasa.gov/horizons/app.html#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3.7109375"/>
    <col customWidth="1" min="2" max="2" style="1" width="16.57421875"/>
    <col customWidth="1" min="3" max="3" style="1" width="15.00390625"/>
    <col customWidth="1" min="4" max="4" style="1" width="16.57421875"/>
    <col customWidth="1" min="5" max="5" style="1" width="14.140625"/>
    <col customWidth="1" min="6" max="6" style="1" width="13.8515625"/>
    <col customWidth="1" min="7" max="7" style="1" width="13.28125"/>
    <col customWidth="1" min="8" max="8" style="1" width="12.140625"/>
    <col customWidth="1" min="9" max="9" style="1" width="15.00390625"/>
    <col customWidth="1" min="10" max="10" style="1" width="14.28125"/>
    <col customWidth="1" min="11" max="11" width="17.00390625"/>
    <col customWidth="1" min="12" max="12" style="1" width="16.8515625"/>
    <col min="13" max="16384" style="1" width="9.140625"/>
  </cols>
  <sheetData>
    <row r="1" ht="14.25">
      <c r="A1" s="2" t="s">
        <v>0</v>
      </c>
      <c r="B1" s="2"/>
      <c r="C1" s="3">
        <v>6.6739999999999996e-20</v>
      </c>
      <c r="D1" s="1"/>
      <c r="E1" s="1"/>
      <c r="F1" s="1"/>
      <c r="G1" s="1"/>
      <c r="H1" s="1"/>
      <c r="I1" s="1"/>
      <c r="J1" s="1"/>
    </row>
    <row r="2" ht="14.25">
      <c r="A2" s="1"/>
      <c r="B2" s="1"/>
      <c r="C2" s="1"/>
      <c r="E2" s="1"/>
      <c r="F2" s="1"/>
      <c r="G2" s="1"/>
      <c r="H2" s="1"/>
      <c r="I2" s="1"/>
      <c r="J2" s="1"/>
    </row>
    <row r="3" ht="14.25">
      <c r="A3" s="2" t="s">
        <v>1</v>
      </c>
      <c r="B3" s="2"/>
      <c r="C3" s="2"/>
      <c r="D3" s="1"/>
      <c r="E3" s="2"/>
      <c r="F3" s="2"/>
      <c r="G3" s="2"/>
      <c r="H3" s="2"/>
      <c r="I3" s="2"/>
      <c r="J3" s="2"/>
      <c r="K3" s="4"/>
      <c r="L3" s="5"/>
    </row>
    <row r="4" ht="14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ht="14.25">
      <c r="A5" s="7" t="s">
        <v>14</v>
      </c>
      <c r="B5" s="1">
        <v>695700</v>
      </c>
      <c r="C5" s="8">
        <v>1.98841e+30</v>
      </c>
      <c r="D5" s="9">
        <v>-332816.20347757451</v>
      </c>
      <c r="E5" s="8">
        <v>-814119.26948772522</v>
      </c>
      <c r="F5" s="8">
        <v>17198.422603245181</v>
      </c>
      <c r="G5" s="8">
        <v>0.01178997261234482</v>
      </c>
      <c r="H5" s="9">
        <v>0.0023570284078631518</v>
      </c>
      <c r="I5" s="8">
        <v>-0.0002428035077973829</v>
      </c>
      <c r="J5" s="8">
        <v>879688.92001007579</v>
      </c>
      <c r="K5" s="8">
        <f t="shared" ref="K5:K9" si="0">SQRT(D5^2+E5^2+F5^2)</f>
        <v>879688.92001007579</v>
      </c>
      <c r="L5" s="1" t="s">
        <v>15</v>
      </c>
    </row>
    <row r="6" ht="14.25">
      <c r="A6" s="7" t="s">
        <v>16</v>
      </c>
      <c r="B6" s="1">
        <v>69911</v>
      </c>
      <c r="C6" s="10">
        <v>1.8981900000000001e+27</v>
      </c>
      <c r="D6" s="8">
        <v>-379135675.14092177</v>
      </c>
      <c r="E6" s="9">
        <v>688008361.85092163</v>
      </c>
      <c r="F6" s="9">
        <v>5631007.3345513642</v>
      </c>
      <c r="G6" s="8">
        <v>-11.600680205038779</v>
      </c>
      <c r="H6" s="8">
        <v>-5.6875039320858312</v>
      </c>
      <c r="I6" s="8">
        <v>0.28318411108702118</v>
      </c>
      <c r="J6" s="8">
        <v>785576905.45544493</v>
      </c>
      <c r="K6" s="8">
        <f t="shared" si="0"/>
        <v>785576905.45544493</v>
      </c>
      <c r="L6" s="1" t="s">
        <v>15</v>
      </c>
    </row>
    <row r="7" ht="14.25">
      <c r="A7" s="7" t="s">
        <v>17</v>
      </c>
      <c r="B7" s="1">
        <v>58232</v>
      </c>
      <c r="C7" s="9">
        <v>5.6834000000000003e+26</v>
      </c>
      <c r="D7" s="8">
        <v>1410114413.5317509</v>
      </c>
      <c r="E7" s="8">
        <v>137450523.60656959</v>
      </c>
      <c r="F7" s="8">
        <v>-58534842.410618402</v>
      </c>
      <c r="G7" s="8">
        <v>-1.468715711250244</v>
      </c>
      <c r="H7" s="8">
        <v>9.5941016499046619</v>
      </c>
      <c r="I7" s="8">
        <v>-0.1089430899509902</v>
      </c>
      <c r="J7" s="8">
        <v>1418006217.7105401</v>
      </c>
      <c r="K7" s="8">
        <f t="shared" si="0"/>
        <v>1418006217.7105393</v>
      </c>
      <c r="L7" s="1" t="s">
        <v>15</v>
      </c>
    </row>
    <row r="8" ht="14.25">
      <c r="A8" s="7" t="s">
        <v>18</v>
      </c>
      <c r="B8" s="1">
        <v>25362</v>
      </c>
      <c r="C8" s="8">
        <v>8.6813e+25</v>
      </c>
      <c r="D8" s="8">
        <v>1415812926.2937119</v>
      </c>
      <c r="E8" s="8">
        <v>2544192618.433888</v>
      </c>
      <c r="F8" s="8">
        <v>-8893232.391628623</v>
      </c>
      <c r="G8" s="8">
        <v>-6.0011511978933951</v>
      </c>
      <c r="H8" s="8">
        <v>2.994109549740116</v>
      </c>
      <c r="I8" s="8">
        <v>0.088838704552455239</v>
      </c>
      <c r="J8" s="8">
        <v>2911618349.2237129</v>
      </c>
      <c r="K8" s="8">
        <f t="shared" si="0"/>
        <v>2911618349.2237129</v>
      </c>
      <c r="L8" s="1" t="s">
        <v>15</v>
      </c>
    </row>
    <row r="9" ht="14.25">
      <c r="A9" s="7" t="s">
        <v>19</v>
      </c>
      <c r="B9" s="1">
        <v>24624</v>
      </c>
      <c r="C9" s="8">
        <v>1.0240900000000001e+26</v>
      </c>
      <c r="D9" s="8">
        <v>4466649796.4702234</v>
      </c>
      <c r="E9" s="8">
        <v>133475549.9119692</v>
      </c>
      <c r="F9" s="8">
        <v>-105687182.66840599</v>
      </c>
      <c r="G9" s="8">
        <v>-0.19824356997955911</v>
      </c>
      <c r="H9" s="8">
        <v>5.4656979628965194</v>
      </c>
      <c r="I9" s="8">
        <v>-0.1073133997257802</v>
      </c>
      <c r="J9" s="8">
        <v>4469893276.9488115</v>
      </c>
      <c r="K9" s="8">
        <f t="shared" si="0"/>
        <v>4469893276.9488106</v>
      </c>
      <c r="L9" s="1" t="s">
        <v>15</v>
      </c>
    </row>
    <row r="10" ht="14.25">
      <c r="A10" s="7" t="s">
        <v>20</v>
      </c>
      <c r="B10" s="1">
        <v>6371.0100000000002</v>
      </c>
      <c r="C10" s="8">
        <v>5.9721900000000004e+24</v>
      </c>
      <c r="D10" s="8">
        <v>-115303588.1221946</v>
      </c>
      <c r="E10" s="8">
        <v>-98246554.994655669</v>
      </c>
      <c r="F10" s="8">
        <v>24041.976698935028</v>
      </c>
      <c r="G10" s="8">
        <v>18.781053254760089</v>
      </c>
      <c r="H10" s="8">
        <v>-22.824606430938442</v>
      </c>
      <c r="I10" s="8">
        <v>0.001645480122306253</v>
      </c>
      <c r="J10" s="8">
        <v>151483674.30250439</v>
      </c>
      <c r="K10" s="8">
        <f t="shared" ref="K10:K20" si="1">SQRT(D10^2+E10^2+F10^2)</f>
        <v>151483674.30250442</v>
      </c>
      <c r="L10" s="1" t="s">
        <v>15</v>
      </c>
    </row>
    <row r="11" ht="14.25">
      <c r="A11" s="7" t="s">
        <v>21</v>
      </c>
      <c r="B11" s="1">
        <v>6051.8400000000001</v>
      </c>
      <c r="C11" s="8">
        <v>4.8684999999999998e+24</v>
      </c>
      <c r="D11" s="8">
        <v>-34472434.52593641</v>
      </c>
      <c r="E11" s="8">
        <v>101098172.9239371</v>
      </c>
      <c r="F11" s="8">
        <v>3387171.5212382148</v>
      </c>
      <c r="G11" s="8">
        <v>-33.314401679793733</v>
      </c>
      <c r="H11" s="8">
        <v>-11.317832441481441</v>
      </c>
      <c r="I11" s="8">
        <v>1.7671348048697211</v>
      </c>
      <c r="J11" s="8">
        <v>106867498.527932</v>
      </c>
      <c r="K11" s="8">
        <f t="shared" si="1"/>
        <v>106867498.527932</v>
      </c>
      <c r="L11" s="1" t="s">
        <v>15</v>
      </c>
    </row>
    <row r="12" ht="14.25">
      <c r="A12" s="7" t="s">
        <v>22</v>
      </c>
      <c r="B12" s="1">
        <v>3389.9200000000001</v>
      </c>
      <c r="C12" s="8">
        <v>6.4171000000000003e+23</v>
      </c>
      <c r="D12" s="8">
        <v>207541867.0262742</v>
      </c>
      <c r="E12" s="8">
        <v>-5590830.3747267853</v>
      </c>
      <c r="F12" s="8">
        <v>-5180146.3264841437</v>
      </c>
      <c r="G12" s="8">
        <v>1.498644064783976</v>
      </c>
      <c r="H12" s="8">
        <v>26.296731972657831</v>
      </c>
      <c r="I12" s="8">
        <v>0.51433925467259733</v>
      </c>
      <c r="J12" s="8">
        <v>207681770.6708858</v>
      </c>
      <c r="K12" s="8">
        <f t="shared" si="1"/>
        <v>207681770.67088586</v>
      </c>
      <c r="L12" s="1" t="s">
        <v>15</v>
      </c>
    </row>
    <row r="13" ht="14.25">
      <c r="A13" s="7" t="s">
        <v>23</v>
      </c>
      <c r="B13" s="1">
        <v>2631.1999999999998</v>
      </c>
      <c r="C13" s="1">
        <f>L13/$C$1</f>
        <v>1.4815452202577166e+23</v>
      </c>
      <c r="D13" s="8">
        <v>-379337795.21308118</v>
      </c>
      <c r="E13" s="8">
        <v>686957918.95697367</v>
      </c>
      <c r="F13" s="8">
        <v>5587929.8054020107</v>
      </c>
      <c r="G13" s="8">
        <v>-0.91432023838423326</v>
      </c>
      <c r="H13" s="8">
        <v>-7.7296532239147213</v>
      </c>
      <c r="I13" s="8">
        <v>0.36054546371837981</v>
      </c>
      <c r="J13" s="8">
        <v>784754464.94704795</v>
      </c>
      <c r="K13" s="8">
        <f t="shared" si="1"/>
        <v>784754464.94704807</v>
      </c>
      <c r="L13" s="1">
        <v>9887.8328000000001</v>
      </c>
    </row>
    <row r="14" ht="14.25">
      <c r="A14" s="7" t="s">
        <v>24</v>
      </c>
      <c r="B14" s="1">
        <v>2575.5</v>
      </c>
      <c r="C14" s="8">
        <v>1.34553e+23</v>
      </c>
      <c r="D14" s="8">
        <v>1408882421.2198009</v>
      </c>
      <c r="E14" s="8">
        <v>137699821.77840441</v>
      </c>
      <c r="F14" s="8">
        <v>-58540816.925393641</v>
      </c>
      <c r="G14" s="8">
        <v>-2.4277791260271591</v>
      </c>
      <c r="H14" s="8">
        <v>4.8971932532306894</v>
      </c>
      <c r="I14" s="8">
        <v>2.4085446987879919</v>
      </c>
      <c r="J14" s="8">
        <v>1416805542.4038489</v>
      </c>
      <c r="K14" s="8">
        <f t="shared" si="1"/>
        <v>1416805542.4038491</v>
      </c>
      <c r="L14" s="1">
        <v>8978.1399999999994</v>
      </c>
    </row>
    <row r="15" ht="14.25">
      <c r="A15" s="7" t="s">
        <v>25</v>
      </c>
      <c r="B15" s="1">
        <v>2439.4000000000001</v>
      </c>
      <c r="C15" s="8">
        <v>3.3019999999999999e+23</v>
      </c>
      <c r="D15" s="8">
        <v>53249860.660558812</v>
      </c>
      <c r="E15" s="8">
        <v>-17434249.849667601</v>
      </c>
      <c r="F15" s="8">
        <v>-6255518.8189866198</v>
      </c>
      <c r="G15" s="8">
        <v>4.9757529574174457</v>
      </c>
      <c r="H15" s="8">
        <v>48.716640228516958</v>
      </c>
      <c r="I15" s="8">
        <v>3.5255647611643401</v>
      </c>
      <c r="J15" s="8">
        <v>56379360.087573349</v>
      </c>
      <c r="K15" s="8">
        <f t="shared" si="1"/>
        <v>56379360.087573357</v>
      </c>
      <c r="L15" s="1" t="s">
        <v>15</v>
      </c>
    </row>
    <row r="16" ht="14.25">
      <c r="A16" s="7" t="s">
        <v>26</v>
      </c>
      <c r="B16" s="1">
        <v>2410.3000000000002</v>
      </c>
      <c r="C16" s="1">
        <f t="shared" ref="C16:C20" si="2">L16/$C$1</f>
        <v>1.0757092298471683e+23</v>
      </c>
      <c r="D16" s="8">
        <v>-380889794.1641258</v>
      </c>
      <c r="E16" s="8">
        <v>688722998.71718192</v>
      </c>
      <c r="F16" s="8">
        <v>5629744.0297521949</v>
      </c>
      <c r="G16" s="8">
        <v>-14.703221621375929</v>
      </c>
      <c r="H16" s="8">
        <v>-13.223589881700139</v>
      </c>
      <c r="I16" s="8">
        <v>0.0054323628018551062</v>
      </c>
      <c r="J16" s="8">
        <v>787050251.43139255</v>
      </c>
      <c r="K16" s="8">
        <f t="shared" si="1"/>
        <v>787050251.43139243</v>
      </c>
      <c r="L16" s="1">
        <v>7179.2834000000003</v>
      </c>
    </row>
    <row r="17" ht="14.25">
      <c r="A17" s="7" t="s">
        <v>27</v>
      </c>
      <c r="B17" s="1">
        <v>1821.49</v>
      </c>
      <c r="C17" s="1">
        <f t="shared" si="2"/>
        <v>8.9300501947857368e+22</v>
      </c>
      <c r="D17" s="8">
        <v>-379135004.04511869</v>
      </c>
      <c r="E17" s="8">
        <v>687585655.13357234</v>
      </c>
      <c r="F17" s="8">
        <v>5615794.0809313953</v>
      </c>
      <c r="G17" s="8">
        <v>5.684716726868599</v>
      </c>
      <c r="H17" s="8">
        <v>-5.7191745115902792</v>
      </c>
      <c r="I17" s="8">
        <v>0.52710883092678507</v>
      </c>
      <c r="J17" s="8">
        <v>785206292.37221193</v>
      </c>
      <c r="K17" s="8">
        <f t="shared" si="1"/>
        <v>785206292.37221181</v>
      </c>
      <c r="L17" s="1">
        <v>5959.9155000000001</v>
      </c>
    </row>
    <row r="18" ht="14.25">
      <c r="A18" s="7" t="s">
        <v>28</v>
      </c>
      <c r="B18" s="1">
        <v>1737.53</v>
      </c>
      <c r="C18" s="8">
        <v>7.3489999999999999e+22</v>
      </c>
      <c r="D18" s="8">
        <v>-115641601.5211506</v>
      </c>
      <c r="E18" s="8">
        <v>-98459025.243213072</v>
      </c>
      <c r="F18" s="8">
        <v>-4994.7022821828723</v>
      </c>
      <c r="G18" s="8">
        <v>19.283766563660251</v>
      </c>
      <c r="H18" s="8">
        <v>-23.672101872249929</v>
      </c>
      <c r="I18" s="8">
        <v>-0.049398270767836649</v>
      </c>
      <c r="J18" s="8">
        <v>151878766.38677081</v>
      </c>
      <c r="K18" s="8">
        <f t="shared" si="1"/>
        <v>151878766.38677081</v>
      </c>
      <c r="L18" s="1" t="s">
        <v>15</v>
      </c>
    </row>
    <row r="19" ht="14.25">
      <c r="A19" s="7" t="s">
        <v>29</v>
      </c>
      <c r="B19" s="1">
        <v>1560.8</v>
      </c>
      <c r="C19" s="1">
        <f t="shared" si="2"/>
        <v>4.7987894815702729e+22</v>
      </c>
      <c r="D19" s="8">
        <v>-379761255.28046519</v>
      </c>
      <c r="E19" s="8">
        <v>687759197.44141912</v>
      </c>
      <c r="F19" s="8">
        <v>5610414.4508623481</v>
      </c>
      <c r="G19" s="8">
        <v>-6.4174864533497153</v>
      </c>
      <c r="H19" s="8">
        <v>-18.35391285644107</v>
      </c>
      <c r="I19" s="8">
        <v>0.0024293318634800438</v>
      </c>
      <c r="J19" s="8">
        <v>785660741.94131017</v>
      </c>
      <c r="K19" s="8">
        <f t="shared" si="1"/>
        <v>785660741.94131017</v>
      </c>
      <c r="L19" s="1">
        <v>3202.7121000000002</v>
      </c>
    </row>
    <row r="20" ht="14.25">
      <c r="A20" s="7" t="s">
        <v>30</v>
      </c>
      <c r="B20" s="1">
        <v>1352.5999999999999</v>
      </c>
      <c r="C20" s="1">
        <f t="shared" si="2"/>
        <v>2.1403880731195686e+22</v>
      </c>
      <c r="D20" s="8">
        <v>4466947148.7419119</v>
      </c>
      <c r="E20" s="8">
        <v>133643041.0272934</v>
      </c>
      <c r="F20" s="8">
        <v>-105784041.7973239</v>
      </c>
      <c r="G20" s="8">
        <v>0.42695144362415183</v>
      </c>
      <c r="H20" s="8">
        <v>2.512441318202518</v>
      </c>
      <c r="I20" s="8">
        <v>-3.2946117519388318</v>
      </c>
      <c r="J20" s="8">
        <v>4470197708.7783823</v>
      </c>
      <c r="K20" s="8">
        <f t="shared" si="1"/>
        <v>4470197708.7783823</v>
      </c>
      <c r="L20" s="1">
        <v>1428.4949999999999</v>
      </c>
    </row>
    <row r="22" ht="14.25">
      <c r="A22" s="11" t="s">
        <v>31</v>
      </c>
      <c r="B22" s="12" t="s">
        <v>32</v>
      </c>
      <c r="C22" s="12"/>
      <c r="D22" s="12"/>
    </row>
  </sheetData>
  <mergeCells count="3">
    <mergeCell ref="A1:B1"/>
    <mergeCell ref="A3:J3"/>
    <mergeCell ref="B22:D22"/>
  </mergeCells>
  <hyperlinks>
    <hyperlink r:id="rId1" ref="B2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2026-05-15T13:07:37Z</dcterms:modified>
</cp:coreProperties>
</file>