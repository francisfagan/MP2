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My Drive\3rd Year\Spring\EEEN30150\MP2\MP2\data files\"/>
    </mc:Choice>
  </mc:AlternateContent>
  <xr:revisionPtr revIDLastSave="0" documentId="13_ncr:1_{1316ADCF-E6B9-4650-B443-1986BEEDD3DC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0" i="1" l="1"/>
  <c r="M19" i="1"/>
  <c r="M18" i="1"/>
  <c r="M17" i="1"/>
  <c r="M16" i="1"/>
  <c r="M14" i="1"/>
  <c r="M13" i="1"/>
  <c r="K20" i="1"/>
  <c r="C20" i="1"/>
  <c r="K19" i="1"/>
  <c r="C19" i="1"/>
  <c r="K18" i="1"/>
  <c r="K17" i="1"/>
  <c r="C17" i="1"/>
  <c r="K16" i="1"/>
  <c r="C16" i="1"/>
  <c r="K15" i="1"/>
  <c r="K14" i="1"/>
  <c r="K13" i="1"/>
  <c r="C13" i="1"/>
  <c r="K12" i="1"/>
  <c r="K11" i="1"/>
  <c r="K10" i="1"/>
  <c r="K9" i="1"/>
  <c r="K8" i="1"/>
  <c r="K7" i="1"/>
  <c r="K6" i="1"/>
  <c r="K5" i="1"/>
</calcChain>
</file>

<file path=xl/sharedStrings.xml><?xml version="1.0" encoding="utf-8"?>
<sst xmlns="http://schemas.openxmlformats.org/spreadsheetml/2006/main" count="56" uniqueCount="37">
  <si>
    <t>Gravitational Constant (G) [m^3 kg^-1 s^-2]</t>
  </si>
  <si>
    <t>MEASUREMENTS TAKEN FROM 1 MAY 2026 00:00</t>
  </si>
  <si>
    <t>BODY</t>
  </si>
  <si>
    <t>RADIUS [km]</t>
  </si>
  <si>
    <t>MASS [kg]</t>
  </si>
  <si>
    <t>X [km]</t>
  </si>
  <si>
    <t>Y [km]</t>
  </si>
  <si>
    <t>Z [km]</t>
  </si>
  <si>
    <t>VX [km/s]</t>
  </si>
  <si>
    <t>VY [km/s]</t>
  </si>
  <si>
    <t>VZ [km/s]</t>
  </si>
  <si>
    <t>RANGE</t>
  </si>
  <si>
    <t>CALC RANGE</t>
  </si>
  <si>
    <t>GM [km^3 s^-2]</t>
  </si>
  <si>
    <t>Sun</t>
  </si>
  <si>
    <t>-</t>
  </si>
  <si>
    <t>Jupiter</t>
  </si>
  <si>
    <t>Saturn</t>
  </si>
  <si>
    <t>Uranus</t>
  </si>
  <si>
    <t>86.813+E24</t>
  </si>
  <si>
    <t>Neptune</t>
  </si>
  <si>
    <t>Earth</t>
  </si>
  <si>
    <t>Venus</t>
  </si>
  <si>
    <t>Mars</t>
  </si>
  <si>
    <t>Ganymede</t>
  </si>
  <si>
    <t>Titan</t>
  </si>
  <si>
    <t>Mercury</t>
  </si>
  <si>
    <t>Callisto</t>
  </si>
  <si>
    <t>Io</t>
  </si>
  <si>
    <t>Moon</t>
  </si>
  <si>
    <t>Europa</t>
  </si>
  <si>
    <t>Triton</t>
  </si>
  <si>
    <t>Data obtained from</t>
  </si>
  <si>
    <t>https://ssd.jpl.nasa.gov/horizons/app.html#/</t>
  </si>
  <si>
    <t>Orbital Period [Years]</t>
  </si>
  <si>
    <t>Orbital Period [Days]</t>
  </si>
  <si>
    <t>Sidereal year [Days]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</si>
</sst>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6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.5"/>
      <color indexed="63"/>
      <name val="Liberation Sans"/>
    </font>
    <font>
      <u/>
      <sz val="11"/>
      <color theme="10"/>
      <name val="Calibri"/>
      <family val="2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theme="3" tint="0.59999389629810485"/>
        <bgColor theme="3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2"/>
        <bgColor theme="2"/>
      </patternFill>
    </fill>
  </fills>
  <borders count="2">
    <border>
      <left/>
      <right/>
      <top/>
      <bottom/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11" fontId="0" fillId="3" borderId="0" xfId="0" applyNumberFormat="1" applyFill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11" fontId="0" fillId="0" borderId="0" xfId="0" applyNumberFormat="1" applyAlignment="1">
      <alignment horizontal="center"/>
    </xf>
    <xf numFmtId="11" fontId="3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0" fontId="0" fillId="5" borderId="0" xfId="0" applyFill="1" applyAlignment="1">
      <alignment horizontal="center"/>
    </xf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4" fillId="5" borderId="0" xfId="0" applyFont="1" applyFill="1" applyAlignment="1">
      <alignment horizontal="left"/>
    </xf>
    <xf numFmtId="0" fontId="5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ssd.jpl.nasa.gov/horizons/app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2"/>
  <sheetViews>
    <sheetView tabSelected="1" workbookViewId="0">
      <selection activeCell="O28" sqref="O28"/>
    </sheetView>
  </sheetViews>
  <sheetFormatPr defaultColWidth="9.109375" defaultRowHeight="14.4"/>
  <cols>
    <col min="1" max="1" width="23.6640625" style="1" customWidth="1"/>
    <col min="2" max="2" width="16.5546875" style="1" customWidth="1"/>
    <col min="3" max="3" width="15" style="1" customWidth="1"/>
    <col min="4" max="4" width="16.5546875" style="1" customWidth="1"/>
    <col min="5" max="5" width="14.109375" style="1" customWidth="1"/>
    <col min="6" max="6" width="13.88671875" style="1" customWidth="1"/>
    <col min="7" max="7" width="13.33203125" style="1" customWidth="1"/>
    <col min="8" max="8" width="12.109375" style="1" customWidth="1"/>
    <col min="9" max="9" width="15" style="1" customWidth="1"/>
    <col min="10" max="10" width="14.33203125" style="1" customWidth="1"/>
    <col min="11" max="11" width="17" customWidth="1"/>
    <col min="12" max="12" width="16.88671875" style="1" customWidth="1"/>
    <col min="13" max="13" width="20.33203125" style="1" customWidth="1"/>
    <col min="14" max="14" width="24" style="1" customWidth="1"/>
    <col min="15" max="15" width="25.77734375" style="1" customWidth="1"/>
    <col min="16" max="16384" width="9.109375" style="1"/>
  </cols>
  <sheetData>
    <row r="1" spans="1:15">
      <c r="A1" s="11" t="s">
        <v>0</v>
      </c>
      <c r="B1" s="11"/>
      <c r="C1" s="2">
        <v>6.6742999999999994E-11</v>
      </c>
    </row>
    <row r="3" spans="1:15">
      <c r="A3" s="11" t="s">
        <v>1</v>
      </c>
      <c r="B3" s="11"/>
      <c r="C3" s="11"/>
      <c r="D3" s="12"/>
      <c r="E3" s="11"/>
      <c r="F3" s="11"/>
      <c r="G3" s="11"/>
      <c r="H3" s="11"/>
      <c r="I3" s="11"/>
      <c r="J3" s="11"/>
      <c r="K3" s="3"/>
      <c r="L3" s="4"/>
      <c r="M3" s="4"/>
      <c r="N3" s="4"/>
      <c r="O3" s="4"/>
    </row>
    <row r="4" spans="1:15" ht="15" thickBot="1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  <c r="J4" s="5" t="s">
        <v>11</v>
      </c>
      <c r="K4" s="5" t="s">
        <v>12</v>
      </c>
      <c r="L4" s="5" t="s">
        <v>13</v>
      </c>
      <c r="M4" s="5" t="s">
        <v>34</v>
      </c>
      <c r="N4" s="5" t="s">
        <v>35</v>
      </c>
      <c r="O4" s="5" t="s">
        <v>36</v>
      </c>
    </row>
    <row r="5" spans="1:15" ht="15" thickTop="1">
      <c r="A5" s="6" t="s">
        <v>14</v>
      </c>
      <c r="B5" s="1">
        <v>695700</v>
      </c>
      <c r="C5" s="7">
        <v>1.98841E+30</v>
      </c>
      <c r="D5" s="8">
        <v>-332816.20347757451</v>
      </c>
      <c r="E5" s="7">
        <v>-814119.26948772522</v>
      </c>
      <c r="F5" s="7">
        <v>17198.422603245181</v>
      </c>
      <c r="G5" s="7">
        <v>1.178997261234482E-2</v>
      </c>
      <c r="H5" s="8">
        <v>2.3570284078631518E-3</v>
      </c>
      <c r="I5" s="7">
        <v>-2.428035077973829E-4</v>
      </c>
      <c r="J5" s="7">
        <v>879688.92001007579</v>
      </c>
      <c r="K5" s="7">
        <f t="shared" ref="K5:K20" si="0">SQRT(D5^2+E5^2+F5^2)</f>
        <v>879688.92001007579</v>
      </c>
      <c r="L5" s="1" t="s">
        <v>15</v>
      </c>
      <c r="M5" s="17" t="s">
        <v>15</v>
      </c>
      <c r="N5" s="18" t="s">
        <v>15</v>
      </c>
      <c r="O5" s="16">
        <v>365.25635999999997</v>
      </c>
    </row>
    <row r="6" spans="1:15">
      <c r="A6" s="6" t="s">
        <v>16</v>
      </c>
      <c r="B6" s="1">
        <v>69911</v>
      </c>
      <c r="C6" s="9">
        <v>1.8981900000000001E+27</v>
      </c>
      <c r="D6" s="7">
        <v>-379135675.14092177</v>
      </c>
      <c r="E6" s="8">
        <v>688008361.85092163</v>
      </c>
      <c r="F6" s="8">
        <v>5631007.3345513642</v>
      </c>
      <c r="G6" s="7">
        <v>-11.600680205038779</v>
      </c>
      <c r="H6" s="7">
        <v>-5.6875039320858312</v>
      </c>
      <c r="I6" s="7">
        <v>0.28318411108702118</v>
      </c>
      <c r="J6" s="7">
        <v>785576905.45544493</v>
      </c>
      <c r="K6" s="7">
        <f t="shared" si="0"/>
        <v>785576905.45544493</v>
      </c>
      <c r="L6" s="1" t="s">
        <v>15</v>
      </c>
      <c r="M6" s="16">
        <v>11.861982204</v>
      </c>
      <c r="N6" s="18" t="s">
        <v>15</v>
      </c>
    </row>
    <row r="7" spans="1:15">
      <c r="A7" s="6" t="s">
        <v>17</v>
      </c>
      <c r="B7" s="1">
        <v>58232</v>
      </c>
      <c r="C7" s="8">
        <v>5.6834000000000003E+26</v>
      </c>
      <c r="D7" s="7">
        <v>1410114413.5317509</v>
      </c>
      <c r="E7" s="7">
        <v>137450523.60656959</v>
      </c>
      <c r="F7" s="7">
        <v>-58534842.410618402</v>
      </c>
      <c r="G7" s="7">
        <v>-1.468715711250244</v>
      </c>
      <c r="H7" s="7">
        <v>9.5941016499046619</v>
      </c>
      <c r="I7" s="7">
        <v>-0.1089430899509902</v>
      </c>
      <c r="J7" s="7">
        <v>1418006217.7105401</v>
      </c>
      <c r="K7" s="7">
        <f t="shared" si="0"/>
        <v>1418006217.7105393</v>
      </c>
      <c r="L7" s="1" t="s">
        <v>15</v>
      </c>
      <c r="M7" s="16">
        <v>29.447498</v>
      </c>
      <c r="N7" s="18" t="s">
        <v>15</v>
      </c>
    </row>
    <row r="8" spans="1:15">
      <c r="A8" s="6" t="s">
        <v>18</v>
      </c>
      <c r="B8" s="1">
        <v>25362</v>
      </c>
      <c r="C8" s="1" t="s">
        <v>19</v>
      </c>
      <c r="D8" s="7">
        <v>1415812926.2937119</v>
      </c>
      <c r="E8" s="7">
        <v>2544192618.433888</v>
      </c>
      <c r="F8" s="7">
        <v>-8893232.391628623</v>
      </c>
      <c r="G8" s="7">
        <v>-6.0011511978933951</v>
      </c>
      <c r="H8" s="7">
        <v>2.994109549740116</v>
      </c>
      <c r="I8" s="7">
        <v>8.8838704552455239E-2</v>
      </c>
      <c r="J8" s="7">
        <v>2911618349.2237129</v>
      </c>
      <c r="K8" s="7">
        <f t="shared" si="0"/>
        <v>2911618349.2237129</v>
      </c>
      <c r="L8" s="1" t="s">
        <v>15</v>
      </c>
      <c r="M8" s="16">
        <v>84.012046499999997</v>
      </c>
      <c r="N8" s="18" t="s">
        <v>15</v>
      </c>
    </row>
    <row r="9" spans="1:15">
      <c r="A9" s="6" t="s">
        <v>20</v>
      </c>
      <c r="B9" s="1">
        <v>24624</v>
      </c>
      <c r="C9" s="7">
        <v>1.0240900000000001E+26</v>
      </c>
      <c r="D9" s="7">
        <v>4466649796.4702234</v>
      </c>
      <c r="E9" s="7">
        <v>133475549.9119692</v>
      </c>
      <c r="F9" s="7">
        <v>-105687182.66840599</v>
      </c>
      <c r="G9" s="7">
        <v>-0.19824356997955911</v>
      </c>
      <c r="H9" s="7">
        <v>5.4656979628965194</v>
      </c>
      <c r="I9" s="7">
        <v>-0.1073133997257802</v>
      </c>
      <c r="J9" s="7">
        <v>4469893276.9488115</v>
      </c>
      <c r="K9" s="7">
        <f t="shared" si="0"/>
        <v>4469893276.9488106</v>
      </c>
      <c r="L9" s="1" t="s">
        <v>15</v>
      </c>
      <c r="M9" s="16">
        <v>164.788501027</v>
      </c>
      <c r="N9" s="18" t="s">
        <v>15</v>
      </c>
    </row>
    <row r="10" spans="1:15">
      <c r="A10" s="6" t="s">
        <v>21</v>
      </c>
      <c r="B10" s="1">
        <v>6371.01</v>
      </c>
      <c r="C10" s="7">
        <v>5.9721900000000004E+24</v>
      </c>
      <c r="D10" s="7">
        <v>-115303588.1221946</v>
      </c>
      <c r="E10" s="7">
        <v>-98246554.994655669</v>
      </c>
      <c r="F10" s="7">
        <v>24041.976698935028</v>
      </c>
      <c r="G10" s="7">
        <v>18.781053254760089</v>
      </c>
      <c r="H10" s="7">
        <v>-22.824606430938442</v>
      </c>
      <c r="I10" s="7">
        <v>1.645480122306253E-3</v>
      </c>
      <c r="J10" s="7">
        <v>151483674.30250439</v>
      </c>
      <c r="K10" s="7">
        <f t="shared" si="0"/>
        <v>151483674.30250442</v>
      </c>
      <c r="L10" s="1" t="s">
        <v>15</v>
      </c>
      <c r="M10" s="16">
        <v>1.0000173999999999</v>
      </c>
      <c r="N10" s="18" t="s">
        <v>15</v>
      </c>
    </row>
    <row r="11" spans="1:15">
      <c r="A11" s="6" t="s">
        <v>22</v>
      </c>
      <c r="B11" s="1">
        <v>6051.84</v>
      </c>
      <c r="C11" s="7">
        <v>4.8684999999999998E+24</v>
      </c>
      <c r="D11" s="7">
        <v>-34472434.52593641</v>
      </c>
      <c r="E11" s="7">
        <v>101098172.9239371</v>
      </c>
      <c r="F11" s="7">
        <v>3387171.5212382148</v>
      </c>
      <c r="G11" s="7">
        <v>-33.314401679793733</v>
      </c>
      <c r="H11" s="7">
        <v>-11.317832441481441</v>
      </c>
      <c r="I11" s="7">
        <v>1.7671348048697211</v>
      </c>
      <c r="J11" s="7">
        <v>106867498.527932</v>
      </c>
      <c r="K11" s="7">
        <f t="shared" si="0"/>
        <v>106867498.527932</v>
      </c>
      <c r="L11" s="1" t="s">
        <v>15</v>
      </c>
      <c r="M11" s="16">
        <v>0.61519725999999997</v>
      </c>
      <c r="N11" s="18" t="s">
        <v>15</v>
      </c>
    </row>
    <row r="12" spans="1:15">
      <c r="A12" s="6" t="s">
        <v>23</v>
      </c>
      <c r="B12" s="1">
        <v>3389.92</v>
      </c>
      <c r="C12" s="7">
        <v>6.4171000000000003E+23</v>
      </c>
      <c r="D12" s="7">
        <v>207541867.0262742</v>
      </c>
      <c r="E12" s="7">
        <v>-5590830.3747267853</v>
      </c>
      <c r="F12" s="7">
        <v>-5180146.3264841437</v>
      </c>
      <c r="G12" s="7">
        <v>1.498644064783976</v>
      </c>
      <c r="H12" s="7">
        <v>26.296731972657831</v>
      </c>
      <c r="I12" s="7">
        <v>0.51433925467259733</v>
      </c>
      <c r="J12" s="7">
        <v>207681770.6708858</v>
      </c>
      <c r="K12" s="7">
        <f t="shared" si="0"/>
        <v>207681770.67088586</v>
      </c>
      <c r="L12" s="1" t="s">
        <v>15</v>
      </c>
      <c r="M12" s="16">
        <v>1.88081578</v>
      </c>
      <c r="N12" s="18" t="s">
        <v>15</v>
      </c>
    </row>
    <row r="13" spans="1:15">
      <c r="A13" s="6" t="s">
        <v>24</v>
      </c>
      <c r="B13" s="1">
        <v>2631.2</v>
      </c>
      <c r="C13" s="1">
        <f>L13/$C$1</f>
        <v>148147862697211.72</v>
      </c>
      <c r="D13" s="7">
        <v>-379337795.21308118</v>
      </c>
      <c r="E13" s="7">
        <v>686957918.95697367</v>
      </c>
      <c r="F13" s="7">
        <v>5587929.8054020107</v>
      </c>
      <c r="G13" s="7">
        <v>-0.91432023838423326</v>
      </c>
      <c r="H13" s="7">
        <v>-7.7296532239147213</v>
      </c>
      <c r="I13" s="7">
        <v>0.36054546371837981</v>
      </c>
      <c r="J13" s="7">
        <v>784754464.94704795</v>
      </c>
      <c r="K13" s="7">
        <f t="shared" si="0"/>
        <v>784754464.94704807</v>
      </c>
      <c r="L13" s="1">
        <v>9887.8328000000001</v>
      </c>
      <c r="M13" s="16">
        <f>N13/$O$5</f>
        <v>1.9588981284268399E-2</v>
      </c>
      <c r="N13" s="14">
        <v>7.1550000000000002</v>
      </c>
    </row>
    <row r="14" spans="1:15">
      <c r="A14" s="6" t="s">
        <v>25</v>
      </c>
      <c r="B14" s="1">
        <v>2575.5</v>
      </c>
      <c r="C14" s="1">
        <v>13455.3</v>
      </c>
      <c r="D14" s="7">
        <v>1408882421.2198009</v>
      </c>
      <c r="E14" s="7">
        <v>137699821.77840441</v>
      </c>
      <c r="F14" s="7">
        <v>-58540816.925393641</v>
      </c>
      <c r="G14" s="7">
        <v>-2.4277791260271591</v>
      </c>
      <c r="H14" s="7">
        <v>4.8971932532306894</v>
      </c>
      <c r="I14" s="7">
        <v>2.4085446987879919</v>
      </c>
      <c r="J14" s="7">
        <v>1416805542.4038489</v>
      </c>
      <c r="K14" s="7">
        <f t="shared" si="0"/>
        <v>1416805542.4038491</v>
      </c>
      <c r="L14" s="1">
        <v>8978.14</v>
      </c>
      <c r="M14" s="16">
        <f t="shared" ref="M14:M20" si="1">N14/$O$5</f>
        <v>4.3655423275860278E-2</v>
      </c>
      <c r="N14" s="14">
        <v>15.945421</v>
      </c>
    </row>
    <row r="15" spans="1:15">
      <c r="A15" s="6" t="s">
        <v>26</v>
      </c>
      <c r="B15" s="1">
        <v>2439.4</v>
      </c>
      <c r="C15" s="7">
        <v>3.3019999999999999E+23</v>
      </c>
      <c r="D15" s="7">
        <v>53249860.660558812</v>
      </c>
      <c r="E15" s="7">
        <v>-17434249.849667601</v>
      </c>
      <c r="F15" s="7">
        <v>-6255518.8189866198</v>
      </c>
      <c r="G15" s="7">
        <v>4.9757529574174457</v>
      </c>
      <c r="H15" s="7">
        <v>48.716640228516958</v>
      </c>
      <c r="I15" s="7">
        <v>3.5255647611643401</v>
      </c>
      <c r="J15" s="7">
        <v>56379360.087573349</v>
      </c>
      <c r="K15" s="7">
        <f t="shared" si="0"/>
        <v>56379360.087573357</v>
      </c>
      <c r="L15" s="1" t="s">
        <v>15</v>
      </c>
      <c r="M15" s="16">
        <v>0.2408467</v>
      </c>
      <c r="N15" s="18" t="s">
        <v>15</v>
      </c>
    </row>
    <row r="16" spans="1:15">
      <c r="A16" s="6" t="s">
        <v>27</v>
      </c>
      <c r="B16" s="1">
        <v>2410.3000000000002</v>
      </c>
      <c r="C16" s="1">
        <f>L16/$C$1</f>
        <v>107566087829435.31</v>
      </c>
      <c r="D16" s="7">
        <v>-380889794.1641258</v>
      </c>
      <c r="E16" s="7">
        <v>688722998.71718192</v>
      </c>
      <c r="F16" s="7">
        <v>5629744.0297521949</v>
      </c>
      <c r="G16" s="7">
        <v>-14.703221621375929</v>
      </c>
      <c r="H16" s="7">
        <v>-13.223589881700139</v>
      </c>
      <c r="I16" s="7">
        <v>5.4323628018551062E-3</v>
      </c>
      <c r="J16" s="7">
        <v>787050251.43139255</v>
      </c>
      <c r="K16" s="7">
        <f t="shared" si="0"/>
        <v>787050251.43139243</v>
      </c>
      <c r="L16" s="1">
        <v>7179.2834000000003</v>
      </c>
      <c r="M16" s="16">
        <f t="shared" si="1"/>
        <v>4.5696671784168245E-2</v>
      </c>
      <c r="N16" s="14">
        <v>16.690999999999999</v>
      </c>
    </row>
    <row r="17" spans="1:14">
      <c r="A17" s="6" t="s">
        <v>28</v>
      </c>
      <c r="B17" s="1">
        <v>1821.49</v>
      </c>
      <c r="C17" s="1">
        <f>L17/$C$1</f>
        <v>89296488021215.719</v>
      </c>
      <c r="D17" s="7">
        <v>-379135004.04511869</v>
      </c>
      <c r="E17" s="7">
        <v>687585655.13357234</v>
      </c>
      <c r="F17" s="7">
        <v>5615794.0809313953</v>
      </c>
      <c r="G17" s="7">
        <v>5.684716726868599</v>
      </c>
      <c r="H17" s="7">
        <v>-5.7191745115902792</v>
      </c>
      <c r="I17" s="7">
        <v>0.52710883092678507</v>
      </c>
      <c r="J17" s="7">
        <v>785206292.37221193</v>
      </c>
      <c r="K17" s="7">
        <f t="shared" si="0"/>
        <v>785206292.37221181</v>
      </c>
      <c r="L17" s="1">
        <v>5959.9155000000001</v>
      </c>
      <c r="M17" s="16">
        <f t="shared" si="1"/>
        <v>4.8459115126701698E-3</v>
      </c>
      <c r="N17" s="15">
        <v>1.77</v>
      </c>
    </row>
    <row r="18" spans="1:14">
      <c r="A18" s="6" t="s">
        <v>29</v>
      </c>
      <c r="B18" s="1">
        <v>1737.53</v>
      </c>
      <c r="C18" s="7">
        <v>7.3489999999999999E+22</v>
      </c>
      <c r="D18" s="7">
        <v>-115641601.5211506</v>
      </c>
      <c r="E18" s="7">
        <v>-98459025.243213072</v>
      </c>
      <c r="F18" s="7">
        <v>-4994.7022821828723</v>
      </c>
      <c r="G18" s="7">
        <v>19.283766563660251</v>
      </c>
      <c r="H18" s="7">
        <v>-23.672101872249929</v>
      </c>
      <c r="I18" s="7">
        <v>-4.9398270767836649E-2</v>
      </c>
      <c r="J18" s="7">
        <v>151878766.38677081</v>
      </c>
      <c r="K18" s="7">
        <f t="shared" si="0"/>
        <v>151878766.38677081</v>
      </c>
      <c r="L18" s="1" t="s">
        <v>15</v>
      </c>
      <c r="M18" s="16">
        <f t="shared" si="1"/>
        <v>7.4801112292746941E-2</v>
      </c>
      <c r="N18" s="14">
        <v>27.321581999999999</v>
      </c>
    </row>
    <row r="19" spans="1:14">
      <c r="A19" s="6" t="s">
        <v>30</v>
      </c>
      <c r="B19" s="1">
        <v>1560.8</v>
      </c>
      <c r="C19" s="1">
        <f>L19/$C$1</f>
        <v>47985737830184.445</v>
      </c>
      <c r="D19" s="7">
        <v>-379761255.28046519</v>
      </c>
      <c r="E19" s="7">
        <v>687759197.44141912</v>
      </c>
      <c r="F19" s="7">
        <v>5610414.4508623481</v>
      </c>
      <c r="G19" s="7">
        <v>-6.4174864533497153</v>
      </c>
      <c r="H19" s="7">
        <v>-18.35391285644107</v>
      </c>
      <c r="I19" s="7">
        <v>2.4293318634800438E-3</v>
      </c>
      <c r="J19" s="7">
        <v>785660741.94131017</v>
      </c>
      <c r="K19" s="7">
        <f t="shared" si="0"/>
        <v>785660741.94131017</v>
      </c>
      <c r="L19" s="1">
        <v>3202.7121000000002</v>
      </c>
      <c r="M19" s="16">
        <f t="shared" si="1"/>
        <v>9.7192010564853687E-3</v>
      </c>
      <c r="N19" s="14">
        <v>3.55</v>
      </c>
    </row>
    <row r="20" spans="1:14">
      <c r="A20" s="6" t="s">
        <v>31</v>
      </c>
      <c r="B20" s="1">
        <v>1352.6</v>
      </c>
      <c r="C20" s="1">
        <f>L20/$C$1</f>
        <v>21402918658136.434</v>
      </c>
      <c r="D20" s="7">
        <v>4466947148.7419119</v>
      </c>
      <c r="E20" s="7">
        <v>133643041.0272934</v>
      </c>
      <c r="F20" s="7">
        <v>-105784041.7973239</v>
      </c>
      <c r="G20" s="7">
        <v>0.42695144362415183</v>
      </c>
      <c r="H20" s="7">
        <v>2.512441318202518</v>
      </c>
      <c r="I20" s="7">
        <v>-3.2946117519388318</v>
      </c>
      <c r="J20" s="7">
        <v>4470197708.7783823</v>
      </c>
      <c r="K20" s="7">
        <f t="shared" si="0"/>
        <v>4470197708.7783823</v>
      </c>
      <c r="L20" s="1">
        <v>1428.4949999999999</v>
      </c>
      <c r="M20" s="16">
        <f t="shared" si="1"/>
        <v>1.609005247711498E-2</v>
      </c>
      <c r="N20" s="14">
        <v>5.8769939999999998</v>
      </c>
    </row>
    <row r="22" spans="1:14">
      <c r="A22" s="10" t="s">
        <v>32</v>
      </c>
      <c r="B22" s="13" t="s">
        <v>33</v>
      </c>
      <c r="C22" s="13"/>
      <c r="D22" s="13"/>
    </row>
  </sheetData>
  <mergeCells count="3">
    <mergeCell ref="A1:B1"/>
    <mergeCell ref="A3:J3"/>
    <mergeCell ref="B22:D22"/>
  </mergeCells>
  <hyperlinks>
    <hyperlink ref="B22" r:id="rId1" location="/" xr:uid="{00000000-0004-0000-0000-000000000000}"/>
  </hyperlinks>
  <pageMargins left="0.70078740157480324" right="0.70078740157480324" top="0.75196850393700787" bottom="0.75196850393700787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McDowell</cp:lastModifiedBy>
  <cp:revision>1</cp:revision>
  <dcterms:modified xsi:type="dcterms:W3CDTF">2026-05-24T11:09:20Z</dcterms:modified>
</cp:coreProperties>
</file>